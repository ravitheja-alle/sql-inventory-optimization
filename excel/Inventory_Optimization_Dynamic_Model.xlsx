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Health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1F4E79"/>
      <sz val="13"/>
    </font>
    <font>
      <name val="Calibri"/>
      <b val="1"/>
      <color rgb="00FFFFFF"/>
      <sz val="11"/>
    </font>
    <font>
      <name val="Calibri"/>
      <b val="1"/>
      <sz val="11"/>
    </font>
    <font>
      <color rgb="00006100"/>
    </font>
    <font>
      <b val="1"/>
      <color rgb="009C65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5" customWidth="1" min="3" max="3"/>
    <col width="15" customWidth="1" min="4" max="4"/>
    <col width="19" customWidth="1" min="5" max="5"/>
    <col width="15" customWidth="1" min="6" max="6"/>
    <col width="27" customWidth="1" min="7" max="7"/>
    <col width="21" customWidth="1" min="8" max="8"/>
    <col width="35" customWidth="1" min="9" max="9"/>
    <col width="22" customWidth="1" min="10" max="10"/>
  </cols>
  <sheetData>
    <row r="1">
      <c r="A1" s="1" t="inlineStr">
        <is>
          <t>Executive Sales &amp; Inventory Optimization Model</t>
        </is>
      </c>
    </row>
    <row r="2">
      <c r="A2" s="2" t="inlineStr">
        <is>
          <t>Dynamic Supply Chain Reorder &amp; Stockout Early Warning System</t>
        </is>
      </c>
    </row>
    <row r="3"/>
    <row r="4">
      <c r="A4" s="3" t="inlineStr">
        <is>
          <t>Inventory Optimization KPIs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Benchmark / Interpretation</t>
        </is>
      </c>
    </row>
    <row r="6">
      <c r="A6" s="5" t="inlineStr">
        <is>
          <t>Total Capital Tied in Stock</t>
        </is>
      </c>
      <c r="B6" s="6" t="inlineStr">
        <is>
          <t>$1,038,963.90</t>
        </is>
      </c>
      <c r="C6" s="7" t="inlineStr">
        <is>
          <t>Total working capital locked across all warehouses</t>
        </is>
      </c>
    </row>
    <row r="7">
      <c r="A7" s="5" t="inlineStr">
        <is>
          <t>Annual Cost of Goods Sold (COGS)</t>
        </is>
      </c>
      <c r="B7" s="6" t="inlineStr">
        <is>
          <t>$1,804,344.30</t>
        </is>
      </c>
      <c r="C7" s="7" t="inlineStr">
        <is>
          <t>Total direct material acquisition costs sold</t>
        </is>
      </c>
    </row>
    <row r="8">
      <c r="A8" s="5" t="inlineStr">
        <is>
          <t>Inventory Turnover Ratio</t>
        </is>
      </c>
      <c r="B8" s="6" t="inlineStr">
        <is>
          <t>1.74x</t>
        </is>
      </c>
      <c r="C8" s="7" t="inlineStr">
        <is>
          <t>Times inventory is sold and replaced per year</t>
        </is>
      </c>
    </row>
    <row r="9">
      <c r="A9" s="5" t="inlineStr">
        <is>
          <t>Days Sales of Inventory (DSI)</t>
        </is>
      </c>
      <c r="B9" s="6" t="inlineStr">
        <is>
          <t>210.2 Days</t>
        </is>
      </c>
      <c r="C9" s="7" t="inlineStr">
        <is>
          <t>Average days required to turn inventory into sales</t>
        </is>
      </c>
    </row>
    <row r="10">
      <c r="A10" s="5" t="inlineStr">
        <is>
          <t>Stockout Risk Items Alert</t>
        </is>
      </c>
      <c r="B10" s="6" t="inlineStr">
        <is>
          <t>16</t>
        </is>
      </c>
      <c r="C10" s="7" t="inlineStr">
        <is>
          <t>SKU-Warehouse locations below Safety Reorder Point</t>
        </is>
      </c>
    </row>
    <row r="11"/>
    <row r="12"/>
    <row r="13">
      <c r="A13" s="3" t="inlineStr">
        <is>
          <t>Warehouse Stock Levels &amp; Reorder Decision Model</t>
        </is>
      </c>
    </row>
    <row r="14">
      <c r="A14" s="4" t="inlineStr">
        <is>
          <t>Warehouse</t>
        </is>
      </c>
      <c r="B14" s="4" t="inlineStr">
        <is>
          <t>Product SKU</t>
        </is>
      </c>
      <c r="C14" s="4" t="inlineStr">
        <is>
          <t>Current Stock</t>
        </is>
      </c>
      <c r="D14" s="4" t="inlineStr">
        <is>
          <t>Daily Demand</t>
        </is>
      </c>
      <c r="E14" s="4" t="inlineStr">
        <is>
          <t>Lead Time (Days)</t>
        </is>
      </c>
      <c r="F14" s="4" t="inlineStr">
        <is>
          <t>Safety Stock</t>
        </is>
      </c>
      <c r="G14" s="4" t="inlineStr">
        <is>
          <t>Reorder Point (ROP)</t>
        </is>
      </c>
      <c r="H14" s="4" t="inlineStr">
        <is>
          <t>Days on Hand (DOH)</t>
        </is>
      </c>
      <c r="I14" s="4" t="inlineStr">
        <is>
          <t>Stock Status Alert</t>
        </is>
      </c>
      <c r="J14" s="4" t="inlineStr">
        <is>
          <t>Inventory Value ($)</t>
        </is>
      </c>
    </row>
    <row r="15">
      <c r="A15" s="7" t="inlineStr">
        <is>
          <t>WH-EAST-01</t>
        </is>
      </c>
      <c r="B15" s="7" t="inlineStr">
        <is>
          <t>SKU-INV-001</t>
        </is>
      </c>
      <c r="C15" s="6" t="n">
        <v>362</v>
      </c>
      <c r="D15" s="6" t="n">
        <v>6.1</v>
      </c>
      <c r="E15" s="6" t="n">
        <v>28</v>
      </c>
      <c r="F15" s="6" t="n">
        <v>30</v>
      </c>
      <c r="G15" s="6">
        <f>ROUND((D15*E15)+F15, 0)</f>
        <v/>
      </c>
      <c r="H15" s="6">
        <f>ROUND(C15/D15, 1)</f>
        <v/>
      </c>
      <c r="I15" s="8">
        <f>IF(C15&lt;(G15*0.5),"CRITICAL STOCKOUT",IF(C15&lt;G15,"REORDER REQUIRED",IF(C15&gt;(G15*3.5),"OVERSTOCKED","OPTIMAL HEALTHY")))</f>
        <v/>
      </c>
      <c r="J15" s="9" t="n">
        <v>26064</v>
      </c>
    </row>
    <row r="16">
      <c r="A16" s="7" t="inlineStr">
        <is>
          <t>WH-MIDW-02</t>
        </is>
      </c>
      <c r="B16" s="7" t="inlineStr">
        <is>
          <t>SKU-INV-001</t>
        </is>
      </c>
      <c r="C16" s="6" t="n">
        <v>154</v>
      </c>
      <c r="D16" s="6" t="n">
        <v>8.199999999999999</v>
      </c>
      <c r="E16" s="6" t="n">
        <v>10</v>
      </c>
      <c r="F16" s="6" t="n">
        <v>40</v>
      </c>
      <c r="G16" s="6">
        <f>ROUND((D16*E16)+F16, 0)</f>
        <v/>
      </c>
      <c r="H16" s="6">
        <f>ROUND(C16/D16, 1)</f>
        <v/>
      </c>
      <c r="I16" s="8">
        <f>IF(C16&lt;(G16*0.5),"CRITICAL STOCKOUT",IF(C16&lt;G16,"REORDER REQUIRED",IF(C16&gt;(G16*3.5),"OVERSTOCKED","OPTIMAL HEALTHY")))</f>
        <v/>
      </c>
      <c r="J16" s="9" t="n">
        <v>11088</v>
      </c>
    </row>
    <row r="17">
      <c r="A17" s="7" t="inlineStr">
        <is>
          <t>WH-WEST-03</t>
        </is>
      </c>
      <c r="B17" s="7" t="inlineStr">
        <is>
          <t>SKU-INV-001</t>
        </is>
      </c>
      <c r="C17" s="6" t="n">
        <v>855</v>
      </c>
      <c r="D17" s="6" t="n">
        <v>6.9</v>
      </c>
      <c r="E17" s="6" t="n">
        <v>28</v>
      </c>
      <c r="F17" s="6" t="n">
        <v>34</v>
      </c>
      <c r="G17" s="6">
        <f>ROUND((D17*E17)+F17, 0)</f>
        <v/>
      </c>
      <c r="H17" s="6">
        <f>ROUND(C17/D17, 1)</f>
        <v/>
      </c>
      <c r="I17" s="10">
        <f>IF(C17&lt;(G17*0.5),"CRITICAL STOCKOUT",IF(C17&lt;G17,"REORDER REQUIRED",IF(C17&gt;(G17*3.5),"OVERSTOCKED","OPTIMAL HEALTHY")))</f>
        <v/>
      </c>
      <c r="J17" s="9" t="n">
        <v>61560</v>
      </c>
    </row>
    <row r="18">
      <c r="A18" s="7" t="inlineStr">
        <is>
          <t>WH-SOUT-04</t>
        </is>
      </c>
      <c r="B18" s="7" t="inlineStr">
        <is>
          <t>SKU-INV-001</t>
        </is>
      </c>
      <c r="C18" s="6" t="n">
        <v>508</v>
      </c>
      <c r="D18" s="6" t="n">
        <v>8.699999999999999</v>
      </c>
      <c r="E18" s="6" t="n">
        <v>28</v>
      </c>
      <c r="F18" s="6" t="n">
        <v>43</v>
      </c>
      <c r="G18" s="6">
        <f>ROUND((D18*E18)+F18, 0)</f>
        <v/>
      </c>
      <c r="H18" s="6">
        <f>ROUND(C18/D18, 1)</f>
        <v/>
      </c>
      <c r="I18" s="8">
        <f>IF(C18&lt;(G18*0.5),"CRITICAL STOCKOUT",IF(C18&lt;G18,"REORDER REQUIRED",IF(C18&gt;(G18*3.5),"OVERSTOCKED","OPTIMAL HEALTHY")))</f>
        <v/>
      </c>
      <c r="J18" s="9" t="n">
        <v>36576</v>
      </c>
    </row>
    <row r="19">
      <c r="A19" s="7" t="inlineStr">
        <is>
          <t>WH-EAST-01</t>
        </is>
      </c>
      <c r="B19" s="7" t="inlineStr">
        <is>
          <t>SKU-INV-002</t>
        </is>
      </c>
      <c r="C19" s="6" t="n">
        <v>661</v>
      </c>
      <c r="D19" s="6" t="n">
        <v>11.4</v>
      </c>
      <c r="E19" s="6" t="n">
        <v>10</v>
      </c>
      <c r="F19" s="6" t="n">
        <v>57</v>
      </c>
      <c r="G19" s="6">
        <f>ROUND((D19*E19)+F19, 0)</f>
        <v/>
      </c>
      <c r="H19" s="6">
        <f>ROUND(C19/D19, 1)</f>
        <v/>
      </c>
      <c r="I19" s="10">
        <f>IF(C19&lt;(G19*0.5),"CRITICAL STOCKOUT",IF(C19&lt;G19,"REORDER REQUIRED",IF(C19&gt;(G19*3.5),"OVERSTOCKED","OPTIMAL HEALTHY")))</f>
        <v/>
      </c>
      <c r="J19" s="9" t="n">
        <v>9386.200000000001</v>
      </c>
    </row>
    <row r="20">
      <c r="A20" s="7" t="inlineStr">
        <is>
          <t>WH-MIDW-02</t>
        </is>
      </c>
      <c r="B20" s="7" t="inlineStr">
        <is>
          <t>SKU-INV-002</t>
        </is>
      </c>
      <c r="C20" s="6" t="n">
        <v>624</v>
      </c>
      <c r="D20" s="6" t="n">
        <v>5.4</v>
      </c>
      <c r="E20" s="6" t="n">
        <v>28</v>
      </c>
      <c r="F20" s="6" t="n">
        <v>26</v>
      </c>
      <c r="G20" s="6">
        <f>ROUND((D20*E20)+F20, 0)</f>
        <v/>
      </c>
      <c r="H20" s="6">
        <f>ROUND(C20/D20, 1)</f>
        <v/>
      </c>
      <c r="I20" s="10">
        <f>IF(C20&lt;(G20*0.5),"CRITICAL STOCKOUT",IF(C20&lt;G20,"REORDER REQUIRED",IF(C20&gt;(G20*3.5),"OVERSTOCKED","OPTIMAL HEALTHY")))</f>
        <v/>
      </c>
      <c r="J20" s="9" t="n">
        <v>8860.799999999999</v>
      </c>
    </row>
    <row r="21">
      <c r="A21" s="7" t="inlineStr">
        <is>
          <t>WH-WEST-03</t>
        </is>
      </c>
      <c r="B21" s="7" t="inlineStr">
        <is>
          <t>SKU-INV-002</t>
        </is>
      </c>
      <c r="C21" s="6" t="n">
        <v>604</v>
      </c>
      <c r="D21" s="6" t="n">
        <v>7.5</v>
      </c>
      <c r="E21" s="6" t="n">
        <v>10</v>
      </c>
      <c r="F21" s="6" t="n">
        <v>37</v>
      </c>
      <c r="G21" s="6">
        <f>ROUND((D21*E21)+F21, 0)</f>
        <v/>
      </c>
      <c r="H21" s="6">
        <f>ROUND(C21/D21, 1)</f>
        <v/>
      </c>
      <c r="I21" s="10">
        <f>IF(C21&lt;(G21*0.5),"CRITICAL STOCKOUT",IF(C21&lt;G21,"REORDER REQUIRED",IF(C21&gt;(G21*3.5),"OVERSTOCKED","OPTIMAL HEALTHY")))</f>
        <v/>
      </c>
      <c r="J21" s="9" t="n">
        <v>8576.799999999999</v>
      </c>
    </row>
    <row r="22">
      <c r="A22" s="7" t="inlineStr">
        <is>
          <t>WH-SOUT-04</t>
        </is>
      </c>
      <c r="B22" s="7" t="inlineStr">
        <is>
          <t>SKU-INV-002</t>
        </is>
      </c>
      <c r="C22" s="6" t="n">
        <v>398</v>
      </c>
      <c r="D22" s="6" t="n">
        <v>4.7</v>
      </c>
      <c r="E22" s="6" t="n">
        <v>14</v>
      </c>
      <c r="F22" s="6" t="n">
        <v>23</v>
      </c>
      <c r="G22" s="6">
        <f>ROUND((D22*E22)+F22, 0)</f>
        <v/>
      </c>
      <c r="H22" s="6">
        <f>ROUND(C22/D22, 1)</f>
        <v/>
      </c>
      <c r="I22" s="10">
        <f>IF(C22&lt;(G22*0.5),"CRITICAL STOCKOUT",IF(C22&lt;G22,"REORDER REQUIRED",IF(C22&gt;(G22*3.5),"OVERSTOCKED","OPTIMAL HEALTHY")))</f>
        <v/>
      </c>
      <c r="J22" s="9" t="n">
        <v>5651.6</v>
      </c>
    </row>
    <row r="23">
      <c r="A23" s="7" t="inlineStr">
        <is>
          <t>WH-EAST-01</t>
        </is>
      </c>
      <c r="B23" s="7" t="inlineStr">
        <is>
          <t>SKU-INV-003</t>
        </is>
      </c>
      <c r="C23" s="6" t="n">
        <v>130</v>
      </c>
      <c r="D23" s="6" t="n">
        <v>8.1</v>
      </c>
      <c r="E23" s="6" t="n">
        <v>14</v>
      </c>
      <c r="F23" s="6" t="n">
        <v>40</v>
      </c>
      <c r="G23" s="6">
        <f>ROUND((D23*E23)+F23, 0)</f>
        <v/>
      </c>
      <c r="H23" s="6">
        <f>ROUND(C23/D23, 1)</f>
        <v/>
      </c>
      <c r="I23" s="11">
        <f>IF(C23&lt;(G23*0.5),"CRITICAL STOCKOUT",IF(C23&lt;G23,"REORDER REQUIRED",IF(C23&gt;(G23*3.5),"OVERSTOCKED","OPTIMAL HEALTHY")))</f>
        <v/>
      </c>
      <c r="J23" s="9" t="n">
        <v>5330</v>
      </c>
    </row>
    <row r="24">
      <c r="A24" s="7" t="inlineStr">
        <is>
          <t>WH-MIDW-02</t>
        </is>
      </c>
      <c r="B24" s="7" t="inlineStr">
        <is>
          <t>SKU-INV-003</t>
        </is>
      </c>
      <c r="C24" s="6" t="n">
        <v>328</v>
      </c>
      <c r="D24" s="6" t="n">
        <v>4.1</v>
      </c>
      <c r="E24" s="6" t="n">
        <v>10</v>
      </c>
      <c r="F24" s="6" t="n">
        <v>20</v>
      </c>
      <c r="G24" s="6">
        <f>ROUND((D24*E24)+F24, 0)</f>
        <v/>
      </c>
      <c r="H24" s="6">
        <f>ROUND(C24/D24, 1)</f>
        <v/>
      </c>
      <c r="I24" s="10">
        <f>IF(C24&lt;(G24*0.5),"CRITICAL STOCKOUT",IF(C24&lt;G24,"REORDER REQUIRED",IF(C24&gt;(G24*3.5),"OVERSTOCKED","OPTIMAL HEALTHY")))</f>
        <v/>
      </c>
      <c r="J24" s="9" t="n">
        <v>13448</v>
      </c>
    </row>
    <row r="25">
      <c r="A25" s="7" t="inlineStr">
        <is>
          <t>WH-WEST-03</t>
        </is>
      </c>
      <c r="B25" s="7" t="inlineStr">
        <is>
          <t>SKU-INV-003</t>
        </is>
      </c>
      <c r="C25" s="6" t="n">
        <v>8</v>
      </c>
      <c r="D25" s="6" t="n">
        <v>7.9</v>
      </c>
      <c r="E25" s="6" t="n">
        <v>10</v>
      </c>
      <c r="F25" s="6" t="n">
        <v>39</v>
      </c>
      <c r="G25" s="6">
        <f>ROUND((D25*E25)+F25, 0)</f>
        <v/>
      </c>
      <c r="H25" s="6">
        <f>ROUND(C25/D25, 1)</f>
        <v/>
      </c>
      <c r="I25" s="12">
        <f>IF(C25&lt;(G25*0.5),"CRITICAL STOCKOUT",IF(C25&lt;G25,"REORDER REQUIRED",IF(C25&gt;(G25*3.5),"OVERSTOCKED","OPTIMAL HEALTHY")))</f>
        <v/>
      </c>
      <c r="J25" s="9" t="n">
        <v>328</v>
      </c>
    </row>
    <row r="26">
      <c r="A26" s="7" t="inlineStr">
        <is>
          <t>WH-SOUT-04</t>
        </is>
      </c>
      <c r="B26" s="7" t="inlineStr">
        <is>
          <t>SKU-INV-003</t>
        </is>
      </c>
      <c r="C26" s="6" t="n">
        <v>453</v>
      </c>
      <c r="D26" s="6" t="n">
        <v>4.7</v>
      </c>
      <c r="E26" s="6" t="n">
        <v>21</v>
      </c>
      <c r="F26" s="6" t="n">
        <v>23</v>
      </c>
      <c r="G26" s="6">
        <f>ROUND((D26*E26)+F26, 0)</f>
        <v/>
      </c>
      <c r="H26" s="6">
        <f>ROUND(C26/D26, 1)</f>
        <v/>
      </c>
      <c r="I26" s="10">
        <f>IF(C26&lt;(G26*0.5),"CRITICAL STOCKOUT",IF(C26&lt;G26,"REORDER REQUIRED",IF(C26&gt;(G26*3.5),"OVERSTOCKED","OPTIMAL HEALTHY")))</f>
        <v/>
      </c>
      <c r="J26" s="9" t="n">
        <v>18573</v>
      </c>
    </row>
    <row r="27">
      <c r="A27" s="7" t="inlineStr">
        <is>
          <t>WH-EAST-01</t>
        </is>
      </c>
      <c r="B27" s="7" t="inlineStr">
        <is>
          <t>SKU-INV-004</t>
        </is>
      </c>
      <c r="C27" s="6" t="n">
        <v>10</v>
      </c>
      <c r="D27" s="6" t="n">
        <v>7.2</v>
      </c>
      <c r="E27" s="6" t="n">
        <v>14</v>
      </c>
      <c r="F27" s="6" t="n">
        <v>36</v>
      </c>
      <c r="G27" s="6">
        <f>ROUND((D27*E27)+F27, 0)</f>
        <v/>
      </c>
      <c r="H27" s="6">
        <f>ROUND(C27/D27, 1)</f>
        <v/>
      </c>
      <c r="I27" s="12">
        <f>IF(C27&lt;(G27*0.5),"CRITICAL STOCKOUT",IF(C27&lt;G27,"REORDER REQUIRED",IF(C27&gt;(G27*3.5),"OVERSTOCKED","OPTIMAL HEALTHY")))</f>
        <v/>
      </c>
      <c r="J27" s="9" t="n">
        <v>565</v>
      </c>
    </row>
    <row r="28">
      <c r="A28" s="7" t="inlineStr">
        <is>
          <t>WH-MIDW-02</t>
        </is>
      </c>
      <c r="B28" s="7" t="inlineStr">
        <is>
          <t>SKU-INV-004</t>
        </is>
      </c>
      <c r="C28" s="6" t="n">
        <v>215</v>
      </c>
      <c r="D28" s="6" t="n">
        <v>8.800000000000001</v>
      </c>
      <c r="E28" s="6" t="n">
        <v>10</v>
      </c>
      <c r="F28" s="6" t="n">
        <v>43</v>
      </c>
      <c r="G28" s="6">
        <f>ROUND((D28*E28)+F28, 0)</f>
        <v/>
      </c>
      <c r="H28" s="6">
        <f>ROUND(C28/D28, 1)</f>
        <v/>
      </c>
      <c r="I28" s="8">
        <f>IF(C28&lt;(G28*0.5),"CRITICAL STOCKOUT",IF(C28&lt;G28,"REORDER REQUIRED",IF(C28&gt;(G28*3.5),"OVERSTOCKED","OPTIMAL HEALTHY")))</f>
        <v/>
      </c>
      <c r="J28" s="9" t="n">
        <v>12147.5</v>
      </c>
    </row>
    <row r="29">
      <c r="A29" s="7" t="inlineStr">
        <is>
          <t>WH-WEST-03</t>
        </is>
      </c>
      <c r="B29" s="7" t="inlineStr">
        <is>
          <t>SKU-INV-004</t>
        </is>
      </c>
      <c r="C29" s="6" t="n">
        <v>62</v>
      </c>
      <c r="D29" s="6" t="n">
        <v>2.8</v>
      </c>
      <c r="E29" s="6" t="n">
        <v>10</v>
      </c>
      <c r="F29" s="6" t="n">
        <v>13</v>
      </c>
      <c r="G29" s="6">
        <f>ROUND((D29*E29)+F29, 0)</f>
        <v/>
      </c>
      <c r="H29" s="6">
        <f>ROUND(C29/D29, 1)</f>
        <v/>
      </c>
      <c r="I29" s="8">
        <f>IF(C29&lt;(G29*0.5),"CRITICAL STOCKOUT",IF(C29&lt;G29,"REORDER REQUIRED",IF(C29&gt;(G29*3.5),"OVERSTOCKED","OPTIMAL HEALTHY")))</f>
        <v/>
      </c>
      <c r="J29" s="9" t="n">
        <v>3503</v>
      </c>
    </row>
    <row r="30">
      <c r="A30" s="7" t="inlineStr">
        <is>
          <t>WH-SOUT-04</t>
        </is>
      </c>
      <c r="B30" s="7" t="inlineStr">
        <is>
          <t>SKU-INV-004</t>
        </is>
      </c>
      <c r="C30" s="6" t="n">
        <v>581</v>
      </c>
      <c r="D30" s="6" t="n">
        <v>6.3</v>
      </c>
      <c r="E30" s="6" t="n">
        <v>21</v>
      </c>
      <c r="F30" s="6" t="n">
        <v>31</v>
      </c>
      <c r="G30" s="6">
        <f>ROUND((D30*E30)+F30, 0)</f>
        <v/>
      </c>
      <c r="H30" s="6">
        <f>ROUND(C30/D30, 1)</f>
        <v/>
      </c>
      <c r="I30" s="10">
        <f>IF(C30&lt;(G30*0.5),"CRITICAL STOCKOUT",IF(C30&lt;G30,"REORDER REQUIRED",IF(C30&gt;(G30*3.5),"OVERSTOCKED","OPTIMAL HEALTHY")))</f>
        <v/>
      </c>
      <c r="J30" s="9" t="n">
        <v>32826.5</v>
      </c>
    </row>
    <row r="31">
      <c r="A31" s="7" t="inlineStr">
        <is>
          <t>WH-EAST-01</t>
        </is>
      </c>
      <c r="B31" s="7" t="inlineStr">
        <is>
          <t>SKU-INV-005</t>
        </is>
      </c>
      <c r="C31" s="6" t="n">
        <v>298</v>
      </c>
      <c r="D31" s="6" t="n">
        <v>5.6</v>
      </c>
      <c r="E31" s="6" t="n">
        <v>28</v>
      </c>
      <c r="F31" s="6" t="n">
        <v>27</v>
      </c>
      <c r="G31" s="6">
        <f>ROUND((D31*E31)+F31, 0)</f>
        <v/>
      </c>
      <c r="H31" s="6">
        <f>ROUND(C31/D31, 1)</f>
        <v/>
      </c>
      <c r="I31" s="8">
        <f>IF(C31&lt;(G31*0.5),"CRITICAL STOCKOUT",IF(C31&lt;G31,"REORDER REQUIRED",IF(C31&gt;(G31*3.5),"OVERSTOCKED","OPTIMAL HEALTHY")))</f>
        <v/>
      </c>
      <c r="J31" s="9" t="n">
        <v>68540</v>
      </c>
    </row>
    <row r="32">
      <c r="A32" s="7" t="inlineStr">
        <is>
          <t>WH-MIDW-02</t>
        </is>
      </c>
      <c r="B32" s="7" t="inlineStr">
        <is>
          <t>SKU-INV-005</t>
        </is>
      </c>
      <c r="C32" s="6" t="n">
        <v>452</v>
      </c>
      <c r="D32" s="6" t="n">
        <v>8.1</v>
      </c>
      <c r="E32" s="6" t="n">
        <v>7</v>
      </c>
      <c r="F32" s="6" t="n">
        <v>40</v>
      </c>
      <c r="G32" s="6">
        <f>ROUND((D32*E32)+F32, 0)</f>
        <v/>
      </c>
      <c r="H32" s="6">
        <f>ROUND(C32/D32, 1)</f>
        <v/>
      </c>
      <c r="I32" s="10">
        <f>IF(C32&lt;(G32*0.5),"CRITICAL STOCKOUT",IF(C32&lt;G32,"REORDER REQUIRED",IF(C32&gt;(G32*3.5),"OVERSTOCKED","OPTIMAL HEALTHY")))</f>
        <v/>
      </c>
      <c r="J32" s="9" t="n">
        <v>103960</v>
      </c>
    </row>
    <row r="33">
      <c r="A33" s="7" t="inlineStr">
        <is>
          <t>WH-WEST-03</t>
        </is>
      </c>
      <c r="B33" s="7" t="inlineStr">
        <is>
          <t>SKU-INV-005</t>
        </is>
      </c>
      <c r="C33" s="6" t="n">
        <v>120</v>
      </c>
      <c r="D33" s="6" t="n">
        <v>5.1</v>
      </c>
      <c r="E33" s="6" t="n">
        <v>28</v>
      </c>
      <c r="F33" s="6" t="n">
        <v>25</v>
      </c>
      <c r="G33" s="6">
        <f>ROUND((D33*E33)+F33, 0)</f>
        <v/>
      </c>
      <c r="H33" s="6">
        <f>ROUND(C33/D33, 1)</f>
        <v/>
      </c>
      <c r="I33" s="11">
        <f>IF(C33&lt;(G33*0.5),"CRITICAL STOCKOUT",IF(C33&lt;G33,"REORDER REQUIRED",IF(C33&gt;(G33*3.5),"OVERSTOCKED","OPTIMAL HEALTHY")))</f>
        <v/>
      </c>
      <c r="J33" s="9" t="n">
        <v>27600</v>
      </c>
    </row>
    <row r="34">
      <c r="A34" s="7" t="inlineStr">
        <is>
          <t>WH-SOUT-04</t>
        </is>
      </c>
      <c r="B34" s="7" t="inlineStr">
        <is>
          <t>SKU-INV-005</t>
        </is>
      </c>
      <c r="C34" s="6" t="n">
        <v>580</v>
      </c>
      <c r="D34" s="6" t="n">
        <v>11.9</v>
      </c>
      <c r="E34" s="6" t="n">
        <v>7</v>
      </c>
      <c r="F34" s="6" t="n">
        <v>59</v>
      </c>
      <c r="G34" s="6">
        <f>ROUND((D34*E34)+F34, 0)</f>
        <v/>
      </c>
      <c r="H34" s="6">
        <f>ROUND(C34/D34, 1)</f>
        <v/>
      </c>
      <c r="I34" s="10">
        <f>IF(C34&lt;(G34*0.5),"CRITICAL STOCKOUT",IF(C34&lt;G34,"REORDER REQUIRED",IF(C34&gt;(G34*3.5),"OVERSTOCKED","OPTIMAL HEALTHY")))</f>
        <v/>
      </c>
      <c r="J34" s="9" t="n">
        <v>133400</v>
      </c>
    </row>
    <row r="35">
      <c r="A35" s="7" t="inlineStr">
        <is>
          <t>WH-EAST-01</t>
        </is>
      </c>
      <c r="B35" s="7" t="inlineStr">
        <is>
          <t>SKU-INV-006</t>
        </is>
      </c>
      <c r="C35" s="6" t="n">
        <v>6</v>
      </c>
      <c r="D35" s="6" t="n">
        <v>2.6</v>
      </c>
      <c r="E35" s="6" t="n">
        <v>14</v>
      </c>
      <c r="F35" s="6" t="n">
        <v>13</v>
      </c>
      <c r="G35" s="6">
        <f>ROUND((D35*E35)+F35, 0)</f>
        <v/>
      </c>
      <c r="H35" s="6">
        <f>ROUND(C35/D35, 1)</f>
        <v/>
      </c>
      <c r="I35" s="12">
        <f>IF(C35&lt;(G35*0.5),"CRITICAL STOCKOUT",IF(C35&lt;G35,"REORDER REQUIRED",IF(C35&gt;(G35*3.5),"OVERSTOCKED","OPTIMAL HEALTHY")))</f>
        <v/>
      </c>
      <c r="J35" s="9" t="n">
        <v>66</v>
      </c>
    </row>
    <row r="36">
      <c r="A36" s="7" t="inlineStr">
        <is>
          <t>WH-MIDW-02</t>
        </is>
      </c>
      <c r="B36" s="7" t="inlineStr">
        <is>
          <t>SKU-INV-006</t>
        </is>
      </c>
      <c r="C36" s="6" t="n">
        <v>176</v>
      </c>
      <c r="D36" s="6" t="n">
        <v>10</v>
      </c>
      <c r="E36" s="6" t="n">
        <v>14</v>
      </c>
      <c r="F36" s="6" t="n">
        <v>50</v>
      </c>
      <c r="G36" s="6">
        <f>ROUND((D36*E36)+F36, 0)</f>
        <v/>
      </c>
      <c r="H36" s="6">
        <f>ROUND(C36/D36, 1)</f>
        <v/>
      </c>
      <c r="I36" s="11">
        <f>IF(C36&lt;(G36*0.5),"CRITICAL STOCKOUT",IF(C36&lt;G36,"REORDER REQUIRED",IF(C36&gt;(G36*3.5),"OVERSTOCKED","OPTIMAL HEALTHY")))</f>
        <v/>
      </c>
      <c r="J36" s="9" t="n">
        <v>1936</v>
      </c>
    </row>
    <row r="37">
      <c r="A37" s="7" t="inlineStr">
        <is>
          <t>WH-WEST-03</t>
        </is>
      </c>
      <c r="B37" s="7" t="inlineStr">
        <is>
          <t>SKU-INV-006</t>
        </is>
      </c>
      <c r="C37" s="6" t="n">
        <v>19</v>
      </c>
      <c r="D37" s="6" t="n">
        <v>8.699999999999999</v>
      </c>
      <c r="E37" s="6" t="n">
        <v>21</v>
      </c>
      <c r="F37" s="6" t="n">
        <v>43</v>
      </c>
      <c r="G37" s="6">
        <f>ROUND((D37*E37)+F37, 0)</f>
        <v/>
      </c>
      <c r="H37" s="6">
        <f>ROUND(C37/D37, 1)</f>
        <v/>
      </c>
      <c r="I37" s="12">
        <f>IF(C37&lt;(G37*0.5),"CRITICAL STOCKOUT",IF(C37&lt;G37,"REORDER REQUIRED",IF(C37&gt;(G37*3.5),"OVERSTOCKED","OPTIMAL HEALTHY")))</f>
        <v/>
      </c>
      <c r="J37" s="9" t="n">
        <v>209</v>
      </c>
    </row>
    <row r="38">
      <c r="A38" s="7" t="inlineStr">
        <is>
          <t>WH-SOUT-04</t>
        </is>
      </c>
      <c r="B38" s="7" t="inlineStr">
        <is>
          <t>SKU-INV-006</t>
        </is>
      </c>
      <c r="C38" s="6" t="n">
        <v>311</v>
      </c>
      <c r="D38" s="6" t="n">
        <v>5.6</v>
      </c>
      <c r="E38" s="6" t="n">
        <v>28</v>
      </c>
      <c r="F38" s="6" t="n">
        <v>28</v>
      </c>
      <c r="G38" s="6">
        <f>ROUND((D38*E38)+F38, 0)</f>
        <v/>
      </c>
      <c r="H38" s="6">
        <f>ROUND(C38/D38, 1)</f>
        <v/>
      </c>
      <c r="I38" s="8">
        <f>IF(C38&lt;(G38*0.5),"CRITICAL STOCKOUT",IF(C38&lt;G38,"REORDER REQUIRED",IF(C38&gt;(G38*3.5),"OVERSTOCKED","OPTIMAL HEALTHY")))</f>
        <v/>
      </c>
      <c r="J38" s="9" t="n">
        <v>3421</v>
      </c>
    </row>
    <row r="39">
      <c r="A39" s="7" t="inlineStr">
        <is>
          <t>WH-EAST-01</t>
        </is>
      </c>
      <c r="B39" s="7" t="inlineStr">
        <is>
          <t>SKU-INV-007</t>
        </is>
      </c>
      <c r="C39" s="6" t="n">
        <v>9</v>
      </c>
      <c r="D39" s="6" t="n">
        <v>5.1</v>
      </c>
      <c r="E39" s="6" t="n">
        <v>14</v>
      </c>
      <c r="F39" s="6" t="n">
        <v>25</v>
      </c>
      <c r="G39" s="6">
        <f>ROUND((D39*E39)+F39, 0)</f>
        <v/>
      </c>
      <c r="H39" s="6">
        <f>ROUND(C39/D39, 1)</f>
        <v/>
      </c>
      <c r="I39" s="12">
        <f>IF(C39&lt;(G39*0.5),"CRITICAL STOCKOUT",IF(C39&lt;G39,"REORDER REQUIRED",IF(C39&gt;(G39*3.5),"OVERSTOCKED","OPTIMAL HEALTHY")))</f>
        <v/>
      </c>
      <c r="J39" s="9" t="n">
        <v>855</v>
      </c>
    </row>
    <row r="40">
      <c r="A40" s="7" t="inlineStr">
        <is>
          <t>WH-MIDW-02</t>
        </is>
      </c>
      <c r="B40" s="7" t="inlineStr">
        <is>
          <t>SKU-INV-007</t>
        </is>
      </c>
      <c r="C40" s="6" t="n">
        <v>28</v>
      </c>
      <c r="D40" s="6" t="n">
        <v>11.7</v>
      </c>
      <c r="E40" s="6" t="n">
        <v>14</v>
      </c>
      <c r="F40" s="6" t="n">
        <v>58</v>
      </c>
      <c r="G40" s="6">
        <f>ROUND((D40*E40)+F40, 0)</f>
        <v/>
      </c>
      <c r="H40" s="6">
        <f>ROUND(C40/D40, 1)</f>
        <v/>
      </c>
      <c r="I40" s="12">
        <f>IF(C40&lt;(G40*0.5),"CRITICAL STOCKOUT",IF(C40&lt;G40,"REORDER REQUIRED",IF(C40&gt;(G40*3.5),"OVERSTOCKED","OPTIMAL HEALTHY")))</f>
        <v/>
      </c>
      <c r="J40" s="9" t="n">
        <v>2660</v>
      </c>
    </row>
    <row r="41">
      <c r="A41" s="7" t="inlineStr">
        <is>
          <t>WH-WEST-03</t>
        </is>
      </c>
      <c r="B41" s="7" t="inlineStr">
        <is>
          <t>SKU-INV-007</t>
        </is>
      </c>
      <c r="C41" s="6" t="n">
        <v>11</v>
      </c>
      <c r="D41" s="6" t="n">
        <v>4.7</v>
      </c>
      <c r="E41" s="6" t="n">
        <v>14</v>
      </c>
      <c r="F41" s="6" t="n">
        <v>23</v>
      </c>
      <c r="G41" s="6">
        <f>ROUND((D41*E41)+F41, 0)</f>
        <v/>
      </c>
      <c r="H41" s="6">
        <f>ROUND(C41/D41, 1)</f>
        <v/>
      </c>
      <c r="I41" s="12">
        <f>IF(C41&lt;(G41*0.5),"CRITICAL STOCKOUT",IF(C41&lt;G41,"REORDER REQUIRED",IF(C41&gt;(G41*3.5),"OVERSTOCKED","OPTIMAL HEALTHY")))</f>
        <v/>
      </c>
      <c r="J41" s="9" t="n">
        <v>1045</v>
      </c>
    </row>
    <row r="42">
      <c r="A42" s="7" t="inlineStr">
        <is>
          <t>WH-SOUT-04</t>
        </is>
      </c>
      <c r="B42" s="7" t="inlineStr">
        <is>
          <t>SKU-INV-007</t>
        </is>
      </c>
      <c r="C42" s="6" t="n">
        <v>68</v>
      </c>
      <c r="D42" s="6" t="n">
        <v>3.6</v>
      </c>
      <c r="E42" s="6" t="n">
        <v>21</v>
      </c>
      <c r="F42" s="6" t="n">
        <v>17</v>
      </c>
      <c r="G42" s="6">
        <f>ROUND((D42*E42)+F42, 0)</f>
        <v/>
      </c>
      <c r="H42" s="6">
        <f>ROUND(C42/D42, 1)</f>
        <v/>
      </c>
      <c r="I42" s="11">
        <f>IF(C42&lt;(G42*0.5),"CRITICAL STOCKOUT",IF(C42&lt;G42,"REORDER REQUIRED",IF(C42&gt;(G42*3.5),"OVERSTOCKED","OPTIMAL HEALTHY")))</f>
        <v/>
      </c>
      <c r="J42" s="9" t="n">
        <v>6460</v>
      </c>
    </row>
    <row r="43">
      <c r="A43" s="7" t="inlineStr">
        <is>
          <t>WH-EAST-01</t>
        </is>
      </c>
      <c r="B43" s="7" t="inlineStr">
        <is>
          <t>SKU-INV-008</t>
        </is>
      </c>
      <c r="C43" s="6" t="n">
        <v>610</v>
      </c>
      <c r="D43" s="6" t="n">
        <v>11</v>
      </c>
      <c r="E43" s="6" t="n">
        <v>7</v>
      </c>
      <c r="F43" s="6" t="n">
        <v>55</v>
      </c>
      <c r="G43" s="6">
        <f>ROUND((D43*E43)+F43, 0)</f>
        <v/>
      </c>
      <c r="H43" s="6">
        <f>ROUND(C43/D43, 1)</f>
        <v/>
      </c>
      <c r="I43" s="10">
        <f>IF(C43&lt;(G43*0.5),"CRITICAL STOCKOUT",IF(C43&lt;G43,"REORDER REQUIRED",IF(C43&gt;(G43*3.5),"OVERSTOCKED","OPTIMAL HEALTHY")))</f>
        <v/>
      </c>
      <c r="J43" s="9" t="n">
        <v>17995</v>
      </c>
    </row>
    <row r="44">
      <c r="A44" s="7" t="inlineStr">
        <is>
          <t>WH-MIDW-02</t>
        </is>
      </c>
      <c r="B44" s="7" t="inlineStr">
        <is>
          <t>SKU-INV-008</t>
        </is>
      </c>
      <c r="C44" s="6" t="n">
        <v>250</v>
      </c>
      <c r="D44" s="6" t="n">
        <v>9.1</v>
      </c>
      <c r="E44" s="6" t="n">
        <v>28</v>
      </c>
      <c r="F44" s="6" t="n">
        <v>45</v>
      </c>
      <c r="G44" s="6">
        <f>ROUND((D44*E44)+F44, 0)</f>
        <v/>
      </c>
      <c r="H44" s="6">
        <f>ROUND(C44/D44, 1)</f>
        <v/>
      </c>
      <c r="I44" s="11">
        <f>IF(C44&lt;(G44*0.5),"CRITICAL STOCKOUT",IF(C44&lt;G44,"REORDER REQUIRED",IF(C44&gt;(G44*3.5),"OVERSTOCKED","OPTIMAL HEALTHY")))</f>
        <v/>
      </c>
      <c r="J44" s="9" t="n">
        <v>7375</v>
      </c>
    </row>
    <row r="45">
      <c r="A45" s="7" t="inlineStr">
        <is>
          <t>WH-WEST-03</t>
        </is>
      </c>
      <c r="B45" s="7" t="inlineStr">
        <is>
          <t>SKU-INV-008</t>
        </is>
      </c>
      <c r="C45" s="6" t="n">
        <v>256</v>
      </c>
      <c r="D45" s="6" t="n">
        <v>4.4</v>
      </c>
      <c r="E45" s="6" t="n">
        <v>28</v>
      </c>
      <c r="F45" s="6" t="n">
        <v>22</v>
      </c>
      <c r="G45" s="6">
        <f>ROUND((D45*E45)+F45, 0)</f>
        <v/>
      </c>
      <c r="H45" s="6">
        <f>ROUND(C45/D45, 1)</f>
        <v/>
      </c>
      <c r="I45" s="8">
        <f>IF(C45&lt;(G45*0.5),"CRITICAL STOCKOUT",IF(C45&lt;G45,"REORDER REQUIRED",IF(C45&gt;(G45*3.5),"OVERSTOCKED","OPTIMAL HEALTHY")))</f>
        <v/>
      </c>
      <c r="J45" s="9" t="n">
        <v>7552</v>
      </c>
    </row>
    <row r="46">
      <c r="A46" s="7" t="inlineStr">
        <is>
          <t>WH-SOUT-04</t>
        </is>
      </c>
      <c r="B46" s="7" t="inlineStr">
        <is>
          <t>SKU-INV-008</t>
        </is>
      </c>
      <c r="C46" s="6" t="n">
        <v>125</v>
      </c>
      <c r="D46" s="6" t="n">
        <v>10.9</v>
      </c>
      <c r="E46" s="6" t="n">
        <v>10</v>
      </c>
      <c r="F46" s="6" t="n">
        <v>54</v>
      </c>
      <c r="G46" s="6">
        <f>ROUND((D46*E46)+F46, 0)</f>
        <v/>
      </c>
      <c r="H46" s="6">
        <f>ROUND(C46/D46, 1)</f>
        <v/>
      </c>
      <c r="I46" s="11">
        <f>IF(C46&lt;(G46*0.5),"CRITICAL STOCKOUT",IF(C46&lt;G46,"REORDER REQUIRED",IF(C46&gt;(G46*3.5),"OVERSTOCKED","OPTIMAL HEALTHY")))</f>
        <v/>
      </c>
      <c r="J46" s="9" t="n">
        <v>3687.5</v>
      </c>
    </row>
    <row r="47">
      <c r="A47" s="7" t="inlineStr">
        <is>
          <t>WH-EAST-01</t>
        </is>
      </c>
      <c r="B47" s="7" t="inlineStr">
        <is>
          <t>SKU-INV-009</t>
        </is>
      </c>
      <c r="C47" s="6" t="n">
        <v>354</v>
      </c>
      <c r="D47" s="6" t="n">
        <v>3.5</v>
      </c>
      <c r="E47" s="6" t="n">
        <v>21</v>
      </c>
      <c r="F47" s="6" t="n">
        <v>17</v>
      </c>
      <c r="G47" s="6">
        <f>ROUND((D47*E47)+F47, 0)</f>
        <v/>
      </c>
      <c r="H47" s="6">
        <f>ROUND(C47/D47, 1)</f>
        <v/>
      </c>
      <c r="I47" s="10">
        <f>IF(C47&lt;(G47*0.5),"CRITICAL STOCKOUT",IF(C47&lt;G47,"REORDER REQUIRED",IF(C47&gt;(G47*3.5),"OVERSTOCKED","OPTIMAL HEALTHY")))</f>
        <v/>
      </c>
      <c r="J47" s="9" t="n">
        <v>13098</v>
      </c>
    </row>
    <row r="48">
      <c r="A48" s="7" t="inlineStr">
        <is>
          <t>WH-MIDW-02</t>
        </is>
      </c>
      <c r="B48" s="7" t="inlineStr">
        <is>
          <t>SKU-INV-009</t>
        </is>
      </c>
      <c r="C48" s="6" t="n">
        <v>158</v>
      </c>
      <c r="D48" s="6" t="n">
        <v>6.5</v>
      </c>
      <c r="E48" s="6" t="n">
        <v>14</v>
      </c>
      <c r="F48" s="6" t="n">
        <v>32</v>
      </c>
      <c r="G48" s="6">
        <f>ROUND((D48*E48)+F48, 0)</f>
        <v/>
      </c>
      <c r="H48" s="6">
        <f>ROUND(C48/D48, 1)</f>
        <v/>
      </c>
      <c r="I48" s="8">
        <f>IF(C48&lt;(G48*0.5),"CRITICAL STOCKOUT",IF(C48&lt;G48,"REORDER REQUIRED",IF(C48&gt;(G48*3.5),"OVERSTOCKED","OPTIMAL HEALTHY")))</f>
        <v/>
      </c>
      <c r="J48" s="9" t="n">
        <v>5846</v>
      </c>
    </row>
    <row r="49">
      <c r="A49" s="7" t="inlineStr">
        <is>
          <t>WH-WEST-03</t>
        </is>
      </c>
      <c r="B49" s="7" t="inlineStr">
        <is>
          <t>SKU-INV-009</t>
        </is>
      </c>
      <c r="C49" s="6" t="n">
        <v>8</v>
      </c>
      <c r="D49" s="6" t="n">
        <v>5.9</v>
      </c>
      <c r="E49" s="6" t="n">
        <v>7</v>
      </c>
      <c r="F49" s="6" t="n">
        <v>29</v>
      </c>
      <c r="G49" s="6">
        <f>ROUND((D49*E49)+F49, 0)</f>
        <v/>
      </c>
      <c r="H49" s="6">
        <f>ROUND(C49/D49, 1)</f>
        <v/>
      </c>
      <c r="I49" s="12">
        <f>IF(C49&lt;(G49*0.5),"CRITICAL STOCKOUT",IF(C49&lt;G49,"REORDER REQUIRED",IF(C49&gt;(G49*3.5),"OVERSTOCKED","OPTIMAL HEALTHY")))</f>
        <v/>
      </c>
      <c r="J49" s="9" t="n">
        <v>296</v>
      </c>
    </row>
    <row r="50">
      <c r="A50" s="7" t="inlineStr">
        <is>
          <t>WH-SOUT-04</t>
        </is>
      </c>
      <c r="B50" s="7" t="inlineStr">
        <is>
          <t>SKU-INV-009</t>
        </is>
      </c>
      <c r="C50" s="6" t="n">
        <v>154</v>
      </c>
      <c r="D50" s="6" t="n">
        <v>6.6</v>
      </c>
      <c r="E50" s="6" t="n">
        <v>21</v>
      </c>
      <c r="F50" s="6" t="n">
        <v>32</v>
      </c>
      <c r="G50" s="6">
        <f>ROUND((D50*E50)+F50, 0)</f>
        <v/>
      </c>
      <c r="H50" s="6">
        <f>ROUND(C50/D50, 1)</f>
        <v/>
      </c>
      <c r="I50" s="11">
        <f>IF(C50&lt;(G50*0.5),"CRITICAL STOCKOUT",IF(C50&lt;G50,"REORDER REQUIRED",IF(C50&gt;(G50*3.5),"OVERSTOCKED","OPTIMAL HEALTHY")))</f>
        <v/>
      </c>
      <c r="J50" s="9" t="n">
        <v>5698</v>
      </c>
    </row>
    <row r="51">
      <c r="A51" s="7" t="inlineStr">
        <is>
          <t>WH-EAST-01</t>
        </is>
      </c>
      <c r="B51" s="7" t="inlineStr">
        <is>
          <t>SKU-INV-010</t>
        </is>
      </c>
      <c r="C51" s="6" t="n">
        <v>5</v>
      </c>
      <c r="D51" s="6" t="n">
        <v>2.6</v>
      </c>
      <c r="E51" s="6" t="n">
        <v>14</v>
      </c>
      <c r="F51" s="6" t="n">
        <v>12</v>
      </c>
      <c r="G51" s="6">
        <f>ROUND((D51*E51)+F51, 0)</f>
        <v/>
      </c>
      <c r="H51" s="6">
        <f>ROUND(C51/D51, 1)</f>
        <v/>
      </c>
      <c r="I51" s="12">
        <f>IF(C51&lt;(G51*0.5),"CRITICAL STOCKOUT",IF(C51&lt;G51,"REORDER REQUIRED",IF(C51&gt;(G51*3.5),"OVERSTOCKED","OPTIMAL HEALTHY")))</f>
        <v/>
      </c>
      <c r="J51" s="9" t="n">
        <v>950</v>
      </c>
    </row>
    <row r="52">
      <c r="A52" s="7" t="inlineStr">
        <is>
          <t>WH-MIDW-02</t>
        </is>
      </c>
      <c r="B52" s="7" t="inlineStr">
        <is>
          <t>SKU-INV-010</t>
        </is>
      </c>
      <c r="C52" s="6" t="n">
        <v>538</v>
      </c>
      <c r="D52" s="6" t="n">
        <v>9.1</v>
      </c>
      <c r="E52" s="6" t="n">
        <v>10</v>
      </c>
      <c r="F52" s="6" t="n">
        <v>45</v>
      </c>
      <c r="G52" s="6">
        <f>ROUND((D52*E52)+F52, 0)</f>
        <v/>
      </c>
      <c r="H52" s="6">
        <f>ROUND(C52/D52, 1)</f>
        <v/>
      </c>
      <c r="I52" s="10">
        <f>IF(C52&lt;(G52*0.5),"CRITICAL STOCKOUT",IF(C52&lt;G52,"REORDER REQUIRED",IF(C52&gt;(G52*3.5),"OVERSTOCKED","OPTIMAL HEALTHY")))</f>
        <v/>
      </c>
      <c r="J52" s="9" t="n">
        <v>102220</v>
      </c>
    </row>
    <row r="53">
      <c r="A53" s="7" t="inlineStr">
        <is>
          <t>WH-WEST-03</t>
        </is>
      </c>
      <c r="B53" s="7" t="inlineStr">
        <is>
          <t>SKU-INV-010</t>
        </is>
      </c>
      <c r="C53" s="6" t="n">
        <v>202</v>
      </c>
      <c r="D53" s="6" t="n">
        <v>4.1</v>
      </c>
      <c r="E53" s="6" t="n">
        <v>7</v>
      </c>
      <c r="F53" s="6" t="n">
        <v>20</v>
      </c>
      <c r="G53" s="6">
        <f>ROUND((D53*E53)+F53, 0)</f>
        <v/>
      </c>
      <c r="H53" s="6">
        <f>ROUND(C53/D53, 1)</f>
        <v/>
      </c>
      <c r="I53" s="10">
        <f>IF(C53&lt;(G53*0.5),"CRITICAL STOCKOUT",IF(C53&lt;G53,"REORDER REQUIRED",IF(C53&gt;(G53*3.5),"OVERSTOCKED","OPTIMAL HEALTHY")))</f>
        <v/>
      </c>
      <c r="J53" s="9" t="n">
        <v>38380</v>
      </c>
    </row>
    <row r="54">
      <c r="A54" s="7" t="inlineStr">
        <is>
          <t>WH-SOUT-04</t>
        </is>
      </c>
      <c r="B54" s="7" t="inlineStr">
        <is>
          <t>SKU-INV-010</t>
        </is>
      </c>
      <c r="C54" s="6" t="n">
        <v>1217</v>
      </c>
      <c r="D54" s="6" t="n">
        <v>11.7</v>
      </c>
      <c r="E54" s="6" t="n">
        <v>21</v>
      </c>
      <c r="F54" s="6" t="n">
        <v>58</v>
      </c>
      <c r="G54" s="6">
        <f>ROUND((D54*E54)+F54, 0)</f>
        <v/>
      </c>
      <c r="H54" s="6">
        <f>ROUND(C54/D54, 1)</f>
        <v/>
      </c>
      <c r="I54" s="10">
        <f>IF(C54&lt;(G54*0.5),"CRITICAL STOCKOUT",IF(C54&lt;G54,"REORDER REQUIRED",IF(C54&gt;(G54*3.5),"OVERSTOCKED","OPTIMAL HEALTHY")))</f>
        <v/>
      </c>
      <c r="J54" s="9" t="n">
        <v>231230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2026-10-10T07:25:30Z</dcterms:created>
  <dcterms:modified xsi:type="dcterms:W3CDTF">2026-10-10T07:25:30Z</dcterms:modified>
</cp:coreProperties>
</file>